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839f0bb12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7744699659714230"/>
    <x:sheet xmlns:r="http://schemas.openxmlformats.org/officeDocument/2006/relationships" name="Milestones" sheetId="2" r:id="R97f50a7c65e7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 mmm yyyy"/>
    <x:numFmt numFmtId="201" formatCode="&quot;$&quot;#,##0;(&quot;$&quot;#,##0);&quot;-&quot;"/>
    <x:numFmt numFmtId="202" formatCode="&quot;$&quot;#,##0.00;(&quot;$&quot;#,##0.00);&quot;$&quot;0.00"/>
    <x:numFmt numFmtId="203" formatCode="0"/>
    <x:numFmt numFmtId="204" formatCode="#,##0;(#,##0);&quot;-&quot;"/>
    <x:numFmt numFmtId="205" formatCode="0.0%;(0.0%);&quot;-&quot;"/>
  </x:numFmts>
  <x:fonts count="12">
    <x:font>
      <x:sz val="11"/>
      <x:name val="Carlito"/>
    </x:font>
    <x:font>
      <x:sz val="11"/>
      <x:color rgb="FF18283E"/>
      <x:name val="Arial"/>
    </x:font>
    <x:font>
      <x:b/>
      <x:sz val="16"/>
      <x:color rgb="FF18283E"/>
      <x:name val="Arial"/>
    </x:font>
    <x:font>
      <x:i/>
      <x:sz val="11"/>
      <x:color rgb="FF5C6978"/>
      <x:name val="Arial"/>
    </x:font>
    <x:font>
      <x:sz val="11"/>
      <x:color rgb="FF5C6978"/>
      <x:name val="Arial"/>
    </x:font>
    <x:font>
      <x:b/>
      <x:sz val="11"/>
      <x:color rgb="FF875C06"/>
      <x:name val="Arial"/>
    </x:font>
    <x:font>
      <x:sz val="11"/>
      <x:color rgb="FF2155CD"/>
      <x:name val="Arial"/>
    </x:font>
    <x:font>
      <x:b/>
      <x:sz val="11"/>
      <x:color rgb="FFFFFFFF"/>
      <x:name val="Arial"/>
    </x:font>
    <x:font>
      <x:b/>
      <x:sz val="11"/>
      <x:color rgb="FF18283E"/>
      <x:name val="Arial"/>
    </x:font>
    <x:font>
      <x:i/>
      <x:sz val="11"/>
      <x:color rgb="FF18283E"/>
      <x:name val="Arial"/>
    </x:font>
    <x:font>
      <x:b/>
      <x:i/>
      <x:sz val="11"/>
      <x:color rgb="FF18283E"/>
      <x:name val="Arial"/>
    </x:font>
    <x:font>
      <x:sz val="11"/>
      <x:color rgb="FF1871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6"/>
      </x:patternFill>
    </x:fill>
    <x:fill>
      <x:patternFill patternType="solid">
        <x:fgColor rgb="FF243A59"/>
      </x:patternFill>
    </x:fill>
    <x:fill>
      <x:patternFill patternType="solid">
        <x:fgColor rgb="FFEEF2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D2"/>
      </x:bottom>
      <x:diagonal/>
    </x:border>
    <x:border>
      <x:left/>
      <x:right/>
      <x:top style="thin">
        <x:color rgb="FF243A59"/>
      </x:top>
      <x:bottom style="double">
        <x:color rgb="FF243A59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201" fontId="6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6" fillId="2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6" fillId="2" borderId="0" xfId="0" applyNumberFormat="1" applyFont="1" applyFill="1" applyBorder="1" applyAlignment="1">
      <x:alignment horizontal="right" vertical="center"/>
    </x:xf>
    <x:xf numFmtId="203" fontId="6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6" fillId="2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4" fontId="6" fillId="2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5" fontId="9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205" fontId="10" fillId="0" borderId="0" xfId="0" applyNumberFormat="1" applyFont="1" applyFill="1" applyBorder="1" applyAlignment="1">
      <x:alignment horizontal="right"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horizontal="right" vertical="center"/>
    </x:xf>
    <x:xf numFmtId="205" fontId="10" fillId="0" borderId="2" xfId="0" applyNumberFormat="1" applyFont="1" applyFill="1" applyBorder="1" applyAlignment="1">
      <x:alignment horizontal="right" vertical="center"/>
    </x:xf>
    <x:xf numFmtId="201" fontId="8" fillId="0" borderId="2" xfId="0" applyNumberFormat="1" applyFont="1" applyFill="1" applyBorder="1" applyAlignment="1">
      <x:alignment horizontal="righ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D2424"/>
      </x:font>
      <x:fill>
        <x:patternFill patternType="solid">
          <x:bgColor rgb="FFFDE9E7"/>
        </x:patternFill>
      </x:fill>
    </x:dxf>
    <x:dxf>
      <x:font>
        <x:b/>
        <x:color rgb="FFAD2424"/>
      </x:font>
      <x:fill>
        <x:patternFill patternType="solid"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4e5a7ff8b24c87" /><Relationship Type="http://schemas.openxmlformats.org/officeDocument/2006/relationships/theme" Target="/xl/theme/theme1.xml" Id="Rdad9d8a0306648e1" /><Relationship Type="http://schemas.openxmlformats.org/officeDocument/2006/relationships/sharedStrings" Target="/xl/sharedStrings.xml" Id="R6af5321c248847f0" /><Relationship Type="http://schemas.openxmlformats.org/officeDocument/2006/relationships/worksheet" Target="/xl/worksheets/sheet1.xml" Id="R7744699659714230" /><Relationship Type="http://schemas.openxmlformats.org/officeDocument/2006/relationships/worksheet" Target="/xl/worksheets/sheet2.xml" Id="R97f50a7c65e746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A59"/>
  </x:sheetPr>
  <x:sheetViews>
    <x:sheetView showGridLines="0" workbookViewId="0"/>
  </x:sheetViews>
  <x:sheetFormatPr defaultRowHeight="15"/>
  <x:cols>
    <x:col min="1" max="1" width="2.75" hidden="0" customWidth="1"/>
    <x:col min="2" max="2" width="29.75" hidden="0" customWidth="1"/>
    <x:col min="3" max="3" width="11" hidden="0" customWidth="1"/>
    <x:col min="4" max="4" width="13.25" hidden="0" customWidth="1"/>
    <x:col min="5" max="5" width="19.75" hidden="0" customWidth="1"/>
    <x:col min="6" max="6" width="14.630000114440918" hidden="0" customWidth="1"/>
    <x:col min="7" max="7" width="13.25" hidden="0" customWidth="1"/>
    <x:col min="8" max="8" width="2.75" hidden="0" customWidth="1"/>
    <x:col min="9" max="9" width="42.5" hidden="0" customWidth="1"/>
  </x:cols>
  <x:sheetData>
    <x:row r="2" ht="31" customHeight="1">
      <x:c r="B2" s="3" t="str">
        <x:v>ArcaneKnockout funding budget</x:v>
      </x:c>
      <x:c r="C2" s="2"/>
      <x:c r="D2" s="2"/>
      <x:c r="E2" s="2"/>
      <x:c r="F2" s="2"/>
      <x:c r="G2" s="2"/>
      <x:c r="H2" s="2"/>
      <x:c r="I2" s="7" t="d">
        <x:v>2026-10-15T00:00:00.000Z</x:v>
      </x:c>
    </x:row>
    <x:row r="3" ht="24" customHeight="1">
      <x:c r="B3" s="5" t="str">
        <x:v>Four-month plan with two hires conditional on funding (USD)</x:v>
      </x:c>
      <x:c r="C3" s="4"/>
      <x:c r="D3" s="4"/>
      <x:c r="E3" s="4"/>
      <x:c r="F3" s="4"/>
      <x:c r="G3" s="4"/>
      <x:c r="H3" s="2"/>
      <x:c r="I3" s="2"/>
    </x:row>
    <x:row r="4" ht="24" customHeight="1"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B5" s="2" t="str">
        <x:v>Funding requested (USD)</x:v>
      </x:c>
      <x:c r="C5" s="15" t="n">
        <x:v>30000</x:v>
      </x:c>
      <x:c r="D5" s="2"/>
      <x:c r="E5" s="2" t="str">
        <x:v>Estimated ship year</x:v>
      </x:c>
      <x:c r="F5" s="19" t="n">
        <x:v>2027</x:v>
      </x:c>
      <x:c r="G5" s="2"/>
      <x:c r="H5" s="2"/>
      <x:c r="I5" s="8" t="str">
        <x:v>PROPOSED ESTIMATES</x:v>
      </x:c>
    </x:row>
    <x:row r="6" ht="24" customHeight="1">
      <x:c r="B6" s="2" t="str">
        <x:v>Planned spend (USD)</x:v>
      </x:c>
      <x:c r="C6" s="16" t="n">
        <x:f>F22</x:f>
        <x:v>30000</x:v>
      </x:c>
      <x:c r="D6" s="2"/>
      <x:c r="E6" s="2" t="str">
        <x:v>Current developers</x:v>
      </x:c>
      <x:c r="F6" s="18" t="n">
        <x:v>1</x:v>
      </x:c>
      <x:c r="G6" s="2"/>
      <x:c r="H6" s="2"/>
      <x:c r="I6" s="9" t="str">
        <x:v>Pay assumption: $1,500/person/month.</x:v>
      </x:c>
    </x:row>
    <x:row r="7" ht="24" customHeight="1">
      <x:c r="B7" s="2" t="str">
        <x:v>Unallocated balance (USD)</x:v>
      </x:c>
      <x:c r="C7" s="17" t="n">
        <x:f>IF(ISNUMBER(C6),C5-C6,"Estimate needed")</x:f>
        <x:v>0</x:v>
      </x:c>
      <x:c r="D7" s="2"/>
      <x:c r="E7" s="2" t="str">
        <x:v>Budget status</x:v>
      </x:c>
      <x:c r="F7" s="2" t="str">
        <x:f>IF(NOT(ISNUMBER(C6)),"Missing estimates",IF(C7&lt;0,"Over request",IF(C7&gt;0,"Unallocated","Balanced")))</x:f>
        <x:v>Balanced</x:v>
      </x:c>
      <x:c r="G7" s="2"/>
      <x:c r="H7" s="2"/>
      <x:c r="I7" s="9" t="str">
        <x:v>Costs are allowances, not supplier quotations.</x:v>
      </x:c>
    </x:row>
    <x:row r="8" ht="24" customHeight="1">
      <x:c r="B8" s="2" t="str">
        <x:v>Funded months</x:v>
      </x:c>
      <x:c r="C8" s="18" t="n">
        <x:v>4</x:v>
      </x:c>
      <x:c r="D8" s="2"/>
      <x:c r="E8" s="2" t="str">
        <x:v>Planned hires</x:v>
      </x:c>
      <x:c r="F8" s="11" t="n">
        <x:v>2</x:v>
      </x:c>
      <x:c r="G8" s="2"/>
      <x:c r="H8" s="2"/>
      <x:c r="I8" s="9" t="str">
        <x:v>Blue numbers on amber fill are editable.</x:v>
      </x:c>
    </x:row>
    <x:row r="9" ht="24" customHeight="1">
      <x:c r="B9" s="2"/>
      <x:c r="C9" s="2"/>
      <x:c r="D9" s="2"/>
      <x:c r="E9" s="2"/>
      <x:c r="F9" s="2"/>
      <x:c r="G9" s="2"/>
      <x:c r="H9" s="2"/>
      <x:c r="I9" s="2"/>
    </x:row>
    <x:row r="10" ht="30" customHeight="1">
      <x:c r="B10" s="22" t="str">
        <x:v>Category</x:v>
      </x:c>
      <x:c r="C10" s="22" t="str">
        <x:v>Quantity</x:v>
      </x:c>
      <x:c r="D10" s="22" t="str">
        <x:v>Unit</x:v>
      </x:c>
      <x:c r="E10" s="22" t="str">
        <x:v>Unit cost (USD)</x:v>
      </x:c>
      <x:c r="F10" s="22" t="str">
        <x:v>Amount (USD)</x:v>
      </x:c>
      <x:c r="G10" s="22" t="str">
        <x:v>Share of ask</x:v>
      </x:c>
      <x:c r="H10" s="2"/>
      <x:c r="I10" s="23" t="str">
        <x:v>Estimate basis</x:v>
      </x:c>
    </x:row>
    <x:row r="11" ht="24" customHeight="1">
      <x:c r="B11" s="2" t="str">
        <x:f>"Development ("&amp;($F$6+$F$8)&amp;" people)"</x:f>
        <x:v>Development (3 people)</x:v>
      </x:c>
      <x:c r="C11" s="27" t="n">
        <x:f>$C$8*($F$6+$F$8)</x:f>
        <x:v>12</x:v>
      </x:c>
      <x:c r="D11" s="31" t="str">
        <x:v>person-month</x:v>
      </x:c>
      <x:c r="E11" s="29" t="n">
        <x:v>1500</x:v>
      </x:c>
      <x:c r="F11" s="27" t="n">
        <x:f>IF(COUNT(C11,E11)=2,C11*E11,"Estimate needed")</x:f>
        <x:v>18000</x:v>
      </x:c>
      <x:c r="G11" s="32" t="n">
        <x:f>IF(AND(ISNUMBER(F11),$C$5&gt;0),F11/$C$5,"n.a.")</x:f>
        <x:v>0.6</x:v>
      </x:c>
      <x:c r="H11" s="2"/>
      <x:c r="I11" s="9" t="str">
        <x:f>$F$6&amp;" lead + "&amp;$F$8&amp;" planned hires, "&amp;$C$8&amp;" months each."</x:f>
        <x:v>1 lead + 2 planned hires, 4 months each.</x:v>
      </x:c>
    </x:row>
    <x:row r="12" ht="24" customHeight="1">
      <x:c r="B12" s="2" t="str">
        <x:v>Art and UI assets</x:v>
      </x:c>
      <x:c r="C12" s="29" t="n">
        <x:v>1</x:v>
      </x:c>
      <x:c r="D12" s="31" t="str">
        <x:v>allowance</x:v>
      </x:c>
      <x:c r="E12" s="29" t="n">
        <x:v>3000</x:v>
      </x:c>
      <x:c r="F12" s="27" t="n">
        <x:f>IF(COUNT(C12,E12)=2,C12*E12,"Estimate needed")</x:f>
        <x:v>3000</x:v>
      </x:c>
      <x:c r="G12" s="32" t="n">
        <x:f>IF(AND(ISNUMBER(F12),$C$5&gt;0),F12/$C$5,"n.a.")</x:f>
        <x:v>0.1</x:v>
      </x:c>
      <x:c r="H12" s="2"/>
      <x:c r="I12" s="9" t="str">
        <x:v>Licences and occasional outside polish.</x:v>
      </x:c>
    </x:row>
    <x:row r="13" ht="24" customHeight="1">
      <x:c r="B13" s="2" t="str">
        <x:v>Audio and music</x:v>
      </x:c>
      <x:c r="C13" s="29" t="n">
        <x:v>1</x:v>
      </x:c>
      <x:c r="D13" s="31" t="str">
        <x:v>allowance</x:v>
      </x:c>
      <x:c r="E13" s="29" t="n">
        <x:v>500</x:v>
      </x:c>
      <x:c r="F13" s="27" t="n">
        <x:f>IF(COUNT(C13,E13)=2,C13*E13,"Estimate needed")</x:f>
        <x:v>500</x:v>
      </x:c>
      <x:c r="G13" s="32" t="n">
        <x:f>IF(AND(ISNUMBER(F13),$C$5&gt;0),F13/$C$5,"n.a.")</x:f>
        <x:v>0.016666666666666666</x:v>
      </x:c>
      <x:c r="H13" s="2"/>
      <x:c r="I13" s="9" t="str">
        <x:v>Sound effects and music allowance.</x:v>
      </x:c>
    </x:row>
    <x:row r="14" ht="24" customHeight="1">
      <x:c r="B14" s="2" t="str">
        <x:v>QA and device coverage</x:v>
      </x:c>
      <x:c r="C14" s="29" t="n">
        <x:v>1</x:v>
      </x:c>
      <x:c r="D14" s="31" t="str">
        <x:v>allowance</x:v>
      </x:c>
      <x:c r="E14" s="29" t="n">
        <x:v>1500</x:v>
      </x:c>
      <x:c r="F14" s="27" t="n">
        <x:f>IF(COUNT(C14,E14)=2,C14*E14,"Estimate needed")</x:f>
        <x:v>1500</x:v>
      </x:c>
      <x:c r="G14" s="32" t="n">
        <x:f>IF(AND(ISNUMBER(F14),$C$5&gt;0),F14/$C$5,"n.a.")</x:f>
        <x:v>0.05</x:v>
      </x:c>
      <x:c r="H14" s="2"/>
      <x:c r="I14" s="9" t="str">
        <x:v>External QA and device testing.</x:v>
      </x:c>
    </x:row>
    <x:row r="15" ht="24" customHeight="1">
      <x:c r="B15" s="2" t="str">
        <x:v>Hosting and developer tools</x:v>
      </x:c>
      <x:c r="C15" s="27" t="n">
        <x:f>$C$8</x:f>
        <x:v>4</x:v>
      </x:c>
      <x:c r="D15" s="31" t="str">
        <x:v>month</x:v>
      </x:c>
      <x:c r="E15" s="29" t="n">
        <x:v>75</x:v>
      </x:c>
      <x:c r="F15" s="27" t="n">
        <x:f>IF(COUNT(C15,E15)=2,C15*E15,"Estimate needed")</x:f>
        <x:v>300</x:v>
      </x:c>
      <x:c r="G15" s="32" t="n">
        <x:f>IF(AND(ISNUMBER(F15),$C$5&gt;0),F15/$C$5,"n.a.")</x:f>
        <x:v>0.01</x:v>
      </x:c>
      <x:c r="H15" s="2"/>
      <x:c r="I15" s="9" t="str">
        <x:v>Service credits and developer tools.</x:v>
      </x:c>
    </x:row>
    <x:row r="16" ht="24" customHeight="1">
      <x:c r="B16" s="2" t="str">
        <x:v>Publishing and admin fees</x:v>
      </x:c>
      <x:c r="C16" s="29" t="n">
        <x:v>1</x:v>
      </x:c>
      <x:c r="D16" s="31" t="str">
        <x:v>allowance</x:v>
      </x:c>
      <x:c r="E16" s="29" t="n">
        <x:v>100</x:v>
      </x:c>
      <x:c r="F16" s="27" t="n">
        <x:f>IF(COUNT(C16,E16)=2,C16*E16,"Estimate needed")</x:f>
        <x:v>100</x:v>
      </x:c>
      <x:c r="G16" s="32" t="n">
        <x:f>IF(AND(ISNUMBER(F16),$C$5&gt;0),F16/$C$5,"n.a.")</x:f>
        <x:v>0.0033333333333333335</x:v>
      </x:c>
      <x:c r="H16" s="2"/>
      <x:c r="I16" s="9" t="str">
        <x:v>Allowance, not a quoted platform fee.</x:v>
      </x:c>
    </x:row>
    <x:row r="17" ht="24" customHeight="1">
      <x:c r="B17" s="2" t="str">
        <x:v>PR: press kit / store assets</x:v>
      </x:c>
      <x:c r="C17" s="29" t="n">
        <x:v>1</x:v>
      </x:c>
      <x:c r="D17" s="31" t="str">
        <x:v>package</x:v>
      </x:c>
      <x:c r="E17" s="29" t="n">
        <x:v>700</x:v>
      </x:c>
      <x:c r="F17" s="27" t="n">
        <x:f>IF(COUNT(C17,E17)=2,C17*E17,"Estimate needed")</x:f>
        <x:v>700</x:v>
      </x:c>
      <x:c r="G17" s="32" t="n">
        <x:f>IF(AND(ISNUMBER(F17),$C$5&gt;0),F17/$C$5,"n.a.")</x:f>
        <x:v>0.023333333333333334</x:v>
      </x:c>
      <x:c r="H17" s="2"/>
      <x:c r="I17" s="9" t="str">
        <x:v>Press kit and store artwork.</x:v>
      </x:c>
    </x:row>
    <x:row r="18" ht="24" customHeight="1">
      <x:c r="B18" s="2" t="str">
        <x:v>PR: creator outreach</x:v>
      </x:c>
      <x:c r="C18" s="29" t="n">
        <x:v>1</x:v>
      </x:c>
      <x:c r="D18" s="31" t="str">
        <x:v>campaign</x:v>
      </x:c>
      <x:c r="E18" s="29" t="n">
        <x:v>800</x:v>
      </x:c>
      <x:c r="F18" s="27" t="n">
        <x:f>IF(COUNT(C18,E18)=2,C18*E18,"Estimate needed")</x:f>
        <x:v>800</x:v>
      </x:c>
      <x:c r="G18" s="32" t="n">
        <x:f>IF(AND(ISNUMBER(F18),$C$5&gt;0),F18/$C$5,"n.a.")</x:f>
        <x:v>0.02666666666666667</x:v>
      </x:c>
      <x:c r="H18" s="2"/>
      <x:c r="I18" s="9" t="str">
        <x:v>Outreach and community materials.</x:v>
      </x:c>
    </x:row>
    <x:row r="19" ht="24" customHeight="1">
      <x:c r="B19" s="2" t="str">
        <x:v>Marketing: paid experiments</x:v>
      </x:c>
      <x:c r="C19" s="29" t="n">
        <x:v>1</x:v>
      </x:c>
      <x:c r="D19" s="31" t="str">
        <x:v>test pool</x:v>
      </x:c>
      <x:c r="E19" s="29" t="n">
        <x:v>1500</x:v>
      </x:c>
      <x:c r="F19" s="27" t="n">
        <x:f>IF(COUNT(C19,E19)=2,C19*E19,"Estimate needed")</x:f>
        <x:v>1500</x:v>
      </x:c>
      <x:c r="G19" s="32" t="n">
        <x:f>IF(AND(ISNUMBER(F19),$C$5&gt;0),F19/$C$5,"n.a.")</x:f>
        <x:v>0.05</x:v>
      </x:c>
      <x:c r="H19" s="2"/>
      <x:c r="I19" s="9" t="str">
        <x:v>Small paid campaigns with measured results.</x:v>
      </x:c>
    </x:row>
    <x:row r="20" ht="24" customHeight="1">
      <x:c r="B20" s="2" t="str">
        <x:v>Contingency reserve</x:v>
      </x:c>
      <x:c r="C20" s="29" t="n">
        <x:v>1</x:v>
      </x:c>
      <x:c r="D20" s="31" t="str">
        <x:v>reserve</x:v>
      </x:c>
      <x:c r="E20" s="29" t="n">
        <x:v>3600</x:v>
      </x:c>
      <x:c r="F20" s="27" t="n">
        <x:f>IF(COUNT(C20,E20)=2,C20*E20,"Estimate needed")</x:f>
        <x:v>3600</x:v>
      </x:c>
      <x:c r="G20" s="32" t="n">
        <x:f>IF(AND(ISNUMBER(F20),$C$5&gt;0),F20/$C$5,"n.a.")</x:f>
        <x:v>0.12</x:v>
      </x:c>
      <x:c r="H20" s="2"/>
      <x:c r="I20" s="9" t="str">
        <x:v>Reserve for hiring, QA or delivery overruns.</x:v>
      </x:c>
    </x:row>
    <x:row r="21" ht="24" customHeight="1">
      <x:c r="B21" s="2"/>
      <x:c r="C21" s="28"/>
      <x:c r="D21" s="28"/>
      <x:c r="E21" s="28"/>
      <x:c r="F21" s="28"/>
      <x:c r="G21" s="32"/>
      <x:c r="H21" s="2"/>
      <x:c r="I21" s="2"/>
    </x:row>
    <x:row r="22" ht="24" customHeight="1">
      <x:c r="B22" s="35" t="str">
        <x:v>TOTAL PROPOSED BUDGET</x:v>
      </x:c>
      <x:c r="C22" s="36"/>
      <x:c r="D22" s="36"/>
      <x:c r="E22" s="36"/>
      <x:c r="F22" s="38" t="n">
        <x:f>IF(COUNT(F11:F20)=ROWS(F11:F20),SUM(F11:F20),"Estimate needed")</x:f>
        <x:v>30000</x:v>
      </x:c>
      <x:c r="G22" s="37" t="n">
        <x:f>IF(COUNT(G11:G20)=ROWS(G11:G20),SUM(G11:G20),"n.a.")</x:f>
        <x:v>1</x:v>
      </x:c>
      <x:c r="H22" s="2"/>
      <x:c r="I22" s="2"/>
    </x:row>
    <x:row r="23" ht="24" customHeight="1">
      <x:c r="B23" s="2"/>
      <x:c r="C23" s="28"/>
      <x:c r="D23" s="28"/>
      <x:c r="E23" s="28"/>
      <x:c r="F23" s="28"/>
      <x:c r="G23" s="32"/>
      <x:c r="H23" s="2"/>
      <x:c r="I23" s="2"/>
    </x:row>
    <x:row r="24" ht="24" customHeight="1">
      <x:c r="B24" s="23" t="str">
        <x:v>PR AND MARKETING INCLUDED</x:v>
      </x:c>
      <x:c r="C24" s="33"/>
      <x:c r="D24" s="33"/>
      <x:c r="E24" s="33"/>
      <x:c r="F24" s="39" t="n">
        <x:f>IF(COUNT(F17:F19)=ROWS(F17:F19),SUM(F17:F19),"Estimate needed")</x:f>
        <x:v>3000</x:v>
      </x:c>
      <x:c r="G24" s="34" t="n">
        <x:f>IF(AND(ISNUMBER(F24),$C$5&gt;0),F24/$C$5,"n.a.")</x:f>
        <x:v>0.1</x:v>
      </x:c>
      <x:c r="H24" s="2"/>
      <x:c r="I24" s="2"/>
    </x:row>
    <x:row r="25" ht="24" customHeight="1"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B26" s="2"/>
      <x:c r="C26" s="2"/>
      <x:c r="D26" s="2"/>
      <x:c r="E26" s="2"/>
      <x:c r="F26" s="2"/>
      <x:c r="G26" s="2"/>
      <x:c r="H26" s="2"/>
      <x:c r="I26" s="2"/>
    </x:row>
    <x:row r="27" ht="24" customHeight="1">
      <x:c r="B27" s="41" t="str">
        <x:v>Budget assumptions</x:v>
      </x:c>
      <x:c r="C27" s="41"/>
      <x:c r="D27" s="41"/>
      <x:c r="E27" s="41"/>
      <x:c r="F27" s="41"/>
      <x:c r="G27" s="41"/>
      <x:c r="H27" s="2"/>
      <x:c r="I27" s="2"/>
    </x:row>
    <x:row r="28" ht="24" customHeight="1">
      <x:c r="B28" s="2" t="str">
        <x:v>Team plan</x:v>
      </x:c>
      <x:c r="C28" s="2"/>
      <x:c r="D28" s="9" t="str">
        <x:v>One current developer plus two planned hires, conditional on funding.</x:v>
      </x:c>
      <x:c r="E28" s="9"/>
      <x:c r="F28" s="9"/>
      <x:c r="G28" s="9"/>
      <x:c r="H28" s="9"/>
      <x:c r="I28" s="9"/>
    </x:row>
    <x:row r="29" ht="24" customHeight="1">
      <x:c r="B29" s="2" t="str">
        <x:v>Pay assumption</x:v>
      </x:c>
      <x:c r="C29" s="2"/>
      <x:c r="D29" s="9" t="str">
        <x:v>$1,500 gross per person per month; confirm rates and availability.</x:v>
      </x:c>
      <x:c r="E29" s="9"/>
      <x:c r="F29" s="9"/>
      <x:c r="G29" s="9"/>
      <x:c r="H29" s="9"/>
      <x:c r="I29" s="9"/>
    </x:row>
    <x:row r="30" ht="24" customHeight="1">
      <x:c r="B30" s="2" t="str">
        <x:v>Tax basis</x:v>
      </x:c>
      <x:c r="C30" s="2"/>
      <x:c r="D30" s="9" t="str">
        <x:v>Allowances include applicable charges; no tax rate is assumed.</x:v>
      </x:c>
      <x:c r="E30" s="9"/>
      <x:c r="F30" s="9"/>
      <x:c r="G30" s="9"/>
      <x:c r="H30" s="9"/>
      <x:c r="I30" s="9"/>
    </x:row>
    <x:row r="31" ht="24" customHeight="1">
      <x:c r="B31" s="2" t="str">
        <x:v>Timing</x:v>
      </x:c>
      <x:c r="C31" s="2"/>
      <x:c r="D31" s="9" t="str">
        <x:v>Four funded months, including hiring/onboarding; target ship year 2027.</x:v>
      </x:c>
      <x:c r="E31" s="9"/>
      <x:c r="F31" s="9"/>
      <x:c r="G31" s="9"/>
      <x:c r="H31" s="9"/>
      <x:c r="I31" s="9"/>
    </x:row>
    <x:row r="32" ht="24" customHeight="1">
      <x:c r="B32" s="2" t="str">
        <x:v>Source</x:v>
      </x:c>
      <x:c r="C32" s="2"/>
      <x:c r="D32" s="9" t="str">
        <x:v>User: $30,000 request, founder + two planned hires, 3–4 months, 2027 target.</x:v>
      </x:c>
      <x:c r="E32" s="9"/>
      <x:c r="F32" s="9"/>
      <x:c r="G32" s="9"/>
      <x:c r="H32" s="9"/>
      <x:c r="I32" s="9"/>
    </x:row>
    <x:row r="33" ht="24" customHeight="1">
      <x:c r="B33" s="2" t="str">
        <x:v>Cost basis</x:v>
      </x:c>
      <x:c r="C33" s="2"/>
      <x:c r="D33" s="9" t="str">
        <x:v>All remaining amounts are proposed estimates, not confirmed costs.</x:v>
      </x:c>
      <x:c r="E33" s="9"/>
      <x:c r="F33" s="9"/>
      <x:c r="G33" s="9"/>
      <x:c r="H33" s="9"/>
      <x:c r="I33" s="9"/>
    </x:row>
    <x:row r="34" ht="24" customHeight="1">
      <x:c r="B34" s="2"/>
      <x:c r="C34" s="2"/>
      <x:c r="D34" s="2"/>
      <x:c r="E34" s="2"/>
      <x:c r="F34" s="2"/>
      <x:c r="G34" s="2"/>
      <x:c r="H34" s="2"/>
      <x:c r="I34" s="2"/>
    </x:row>
  </x:sheetData>
  <x:conditionalFormatting sqref="C7:C7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A96"/>
  </x:sheetPr>
  <x:sheetViews>
    <x:sheetView showGridLines="0" workbookViewId="0"/>
  </x:sheetViews>
  <x:sheetFormatPr defaultRowHeight="15"/>
  <x:cols>
    <x:col min="1" max="1" width="2.75" hidden="0" customWidth="1"/>
    <x:col min="2" max="2" width="30.6299991607666" hidden="0" customWidth="1"/>
    <x:col min="3" max="3" width="11.880000114440918" hidden="0" customWidth="1"/>
    <x:col min="4" max="4" width="11.880000114440918" hidden="0" customWidth="1"/>
    <x:col min="5" max="5" width="75" hidden="0" customWidth="1"/>
    <x:col min="6" max="6" width="18.75" hidden="0" customWidth="1"/>
  </x:cols>
  <x:sheetData>
    <x:row r="2" ht="31" customHeight="1">
      <x:c r="B2" s="3" t="str">
        <x:v>ArcaneKnockout development milestones</x:v>
      </x:c>
      <x:c r="C2" s="2"/>
      <x:c r="D2" s="2"/>
      <x:c r="E2" s="2"/>
      <x:c r="F2" s="2"/>
    </x:row>
    <x:row r="3" ht="24" customHeight="1">
      <x:c r="B3" s="4" t="str">
        <x:v>Four-month team plan, measured from funding availability</x:v>
      </x:c>
      <x:c r="C3" s="4"/>
      <x:c r="D3" s="4"/>
      <x:c r="E3" s="4"/>
      <x:c r="F3" s="4"/>
    </x:row>
    <x:row r="4" ht="24" customHeight="1">
      <x:c r="B4" s="2"/>
      <x:c r="C4" s="2"/>
      <x:c r="D4" s="2"/>
      <x:c r="E4" s="2"/>
      <x:c r="F4" s="2"/>
    </x:row>
    <x:row r="5" ht="24" customHeight="1">
      <x:c r="B5" s="2" t="str">
        <x:v>Funded months</x:v>
      </x:c>
      <x:c r="C5" s="42" t="n">
        <x:f>'Budget'!C8</x:f>
        <x:v>4</x:v>
      </x:c>
      <x:c r="D5" s="2"/>
      <x:c r="E5" s="2" t="str">
        <x:v>Target ship year</x:v>
      </x:c>
      <x:c r="F5" s="42" t="n">
        <x:f>'Budget'!F5</x:f>
        <x:v>2027</x:v>
      </x:c>
    </x:row>
    <x:row r="6" ht="24" customHeight="1">
      <x:c r="B6" s="2" t="str">
        <x:v>Schedule status</x:v>
      </x:c>
      <x:c r="C6" s="2" t="str">
        <x:f>IF(MAX(D10:D14)&gt;C5,"Revise timing","Within plan")</x:f>
        <x:v>Within plan</x:v>
      </x:c>
      <x:c r="D6" s="2"/>
      <x:c r="E6" s="2"/>
      <x:c r="F6" s="2"/>
    </x:row>
    <x:row r="7" ht="24" customHeight="1">
      <x:c r="B7" s="9" t="str">
        <x:v>Month 1 begins when funding is available; the month ranges below are proposed.</x:v>
      </x:c>
      <x:c r="C7" s="2"/>
      <x:c r="D7" s="2"/>
      <x:c r="E7" s="2"/>
      <x:c r="F7" s="2"/>
    </x:row>
    <x:row r="8" ht="24" customHeight="1">
      <x:c r="B8" s="2"/>
      <x:c r="C8" s="2"/>
      <x:c r="D8" s="2"/>
      <x:c r="E8" s="2"/>
      <x:c r="F8" s="2"/>
    </x:row>
    <x:row r="9" ht="30" customHeight="1">
      <x:c r="B9" s="22" t="str">
        <x:v>Phase</x:v>
      </x:c>
      <x:c r="C9" s="22" t="str">
        <x:v>Start month</x:v>
      </x:c>
      <x:c r="D9" s="22" t="str">
        <x:v>End month</x:v>
      </x:c>
      <x:c r="E9" s="22" t="str">
        <x:v>Intended deliverable</x:v>
      </x:c>
      <x:c r="F9" s="2"/>
    </x:row>
    <x:row r="10" ht="24" customHeight="1">
      <x:c r="B10" s="2" t="str">
        <x:v>Onboarding / feature closure</x:v>
      </x:c>
      <x:c r="C10" s="18" t="n">
        <x:v>1</x:v>
      </x:c>
      <x:c r="D10" s="18" t="n">
        <x:v>1</x:v>
      </x:c>
      <x:c r="E10" s="2" t="str">
        <x:v>Onboard planned hires; finish core features and resolve control issues.</x:v>
      </x:c>
      <x:c r="F10" s="2"/>
    </x:row>
    <x:row r="11" ht="24" customHeight="1">
      <x:c r="B11" s="2" t="str">
        <x:v>Platform and content polish</x:v>
      </x:c>
      <x:c r="C11" s="18" t="n">
        <x:v>2</x:v>
      </x:c>
      <x:c r="D11" s="18" t="n">
        <x:v>2</x:v>
      </x:c>
      <x:c r="E11" s="2" t="str">
        <x:v>Polish maps, UI, VFX and audio; validate networking and device performance.</x:v>
      </x:c>
      <x:c r="F11" s="2"/>
    </x:row>
    <x:row r="12" ht="24" customHeight="1">
      <x:c r="B12" s="2" t="str">
        <x:v>Playtests and stabilization</x:v>
      </x:c>
      <x:c r="C12" s="18" t="n">
        <x:v>3</x:v>
      </x:c>
      <x:c r="D12" s="18" t="n">
        <x:v>3</x:v>
      </x:c>
      <x:c r="E12" s="2" t="str">
        <x:v>Run external and real multiplayer tests; fix crashes, balance and usability.</x:v>
      </x:c>
      <x:c r="F12" s="2"/>
    </x:row>
    <x:row r="13" ht="24" customHeight="1">
      <x:c r="B13" s="2" t="str">
        <x:v>Release preparation</x:v>
      </x:c>
      <x:c r="C13" s="18" t="n">
        <x:v>4</x:v>
      </x:c>
      <x:c r="D13" s="18" t="n">
        <x:v>4</x:v>
      </x:c>
      <x:c r="E13" s="2" t="str">
        <x:v>Complete QA and store preparation; ship when release criteria are met.</x:v>
      </x:c>
      <x:c r="F13" s="2"/>
    </x:row>
    <x:row r="14" ht="24" customHeight="1">
      <x:c r="B14" s="2" t="str">
        <x:v>PR and marketing</x:v>
      </x:c>
      <x:c r="C14" s="18" t="n">
        <x:v>2</x:v>
      </x:c>
      <x:c r="D14" s="18" t="n">
        <x:v>4</x:v>
      </x:c>
      <x:c r="E14" s="2" t="str">
        <x:v>Press kit, creator outreach, store page and measured marketing tests.</x:v>
      </x:c>
      <x:c r="F14" s="2"/>
    </x:row>
    <x:row r="15" ht="24" customHeight="1">
      <x:c r="B15" s="2"/>
      <x:c r="C15" s="2"/>
      <x:c r="D15" s="2"/>
      <x:c r="E15" s="2"/>
      <x:c r="F15" s="2"/>
    </x:row>
    <x:row r="16" ht="24" customHeight="1">
      <x:c r="B16" s="2"/>
      <x:c r="C16" s="2"/>
      <x:c r="D16" s="2"/>
      <x:c r="E16" s="2"/>
      <x:c r="F16" s="2"/>
    </x:row>
    <x:row r="17" ht="24" customHeight="1">
      <x:c r="B17" s="2"/>
      <x:c r="C17" s="2"/>
      <x:c r="D17" s="2"/>
      <x:c r="E17" s="2"/>
      <x:c r="F17" s="2"/>
    </x:row>
    <x:row r="18" ht="24" customHeight="1">
      <x:c r="B18" s="2"/>
      <x:c r="C18" s="2"/>
      <x:c r="D18" s="2"/>
      <x:c r="E18" s="2"/>
      <x:c r="F18" s="2"/>
    </x:row>
    <x:row r="19" ht="24" customHeight="1">
      <x:c r="B19" s="2" t="str">
        <x:v>Release-year assumption</x:v>
      </x:c>
      <x:c r="C19" s="2"/>
      <x:c r="D19" s="2"/>
      <x:c r="E19" s="9" t="str">
        <x:v>Target year 2027; the exact launch date depends on funding and validation.</x:v>
      </x:c>
      <x:c r="F19" s="9"/>
    </x:row>
    <x:row r="20" ht="24" customHeight="1">
      <x:c r="B20" s="2" t="str">
        <x:v>Funding dependencies</x:v>
      </x:c>
      <x:c r="C20" s="2"/>
      <x:c r="D20" s="2"/>
      <x:c r="E20" s="9" t="str">
        <x:v>Two developer hires are conditional on funding and assumed available in Month 1.</x:v>
      </x:c>
      <x:c r="F20" s="9"/>
    </x:row>
    <x:row r="21" ht="24" customHeight="1">
      <x:c r="B21" s="2" t="str">
        <x:v>Milestone basis</x:v>
      </x:c>
      <x:c r="C21" s="2"/>
      <x:c r="D21" s="2"/>
      <x:c r="E21" s="9" t="str">
        <x:v>Proposed plan for the existing prototype; revise if hiring or QA takes longer.</x:v>
      </x:c>
      <x:c r="F21" s="9"/>
    </x:row>
    <x:row r="22" ht="24" customHeight="1">
      <x:c r="B22" s="2"/>
      <x:c r="C22" s="2"/>
      <x:c r="D22" s="2"/>
      <x:c r="E22" s="2"/>
      <x:c r="F22" s="2"/>
    </x:row>
    <x:row r="23" ht="24" customHeight="1">
      <x:c r="B23" s="2"/>
      <x:c r="C23" s="2"/>
      <x:c r="D23" s="2"/>
      <x:c r="E23" s="2"/>
      <x:c r="F23" s="2"/>
    </x:row>
  </x:sheetData>
  <x:conditionalFormatting sqref="C6:C6">
    <x:cfRule type="containsText" dxfId="1" priority="1" operator="containsText" text="Revise"/>
  </x:conditionalFormatting>
  <x:pageMargins left="0.7" right="0.7" top="0.75" bottom="0.75" header="0.3" footer="0.3"/>
</x:worksheet>
</file>